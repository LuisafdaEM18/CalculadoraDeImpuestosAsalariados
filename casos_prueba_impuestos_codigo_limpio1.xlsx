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Jp\OneDrive - Universidad de Medellin\Escritorio\Calculadora_Impuestos\"/>
    </mc:Choice>
  </mc:AlternateContent>
  <xr:revisionPtr revIDLastSave="0" documentId="13_ncr:1_{6D2B89A6-4803-4DFE-9B30-B9C3ADFE5794}" xr6:coauthVersionLast="47" xr6:coauthVersionMax="47" xr10:uidLastSave="{00000000-0000-0000-0000-000000000000}"/>
  <bookViews>
    <workbookView minimized="1" xWindow="3660" yWindow="3540" windowWidth="17280" windowHeight="9420" tabRatio="500" xr2:uid="{00000000-000D-0000-FFFF-FFFF00000000}"/>
  </bookViews>
  <sheets>
    <sheet name="Casos Prueba Impuest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2" l="1"/>
  <c r="K18" i="2"/>
  <c r="K17" i="2"/>
  <c r="K16" i="2"/>
  <c r="K15" i="2"/>
  <c r="H15" i="2"/>
  <c r="K14" i="2"/>
  <c r="H11" i="2"/>
  <c r="I11" i="2" s="1"/>
  <c r="H10" i="2"/>
  <c r="I10" i="2" s="1"/>
  <c r="H7" i="2"/>
  <c r="I7" i="2" s="1"/>
  <c r="H6" i="2"/>
  <c r="K11" i="2" l="1"/>
  <c r="J11" i="2"/>
  <c r="J10" i="2"/>
  <c r="K10" i="2"/>
  <c r="J7" i="2"/>
  <c r="K7" i="2"/>
  <c r="J6" i="2"/>
  <c r="K6" i="2" s="1"/>
</calcChain>
</file>

<file path=xl/sharedStrings.xml><?xml version="1.0" encoding="utf-8"?>
<sst xmlns="http://schemas.openxmlformats.org/spreadsheetml/2006/main" count="41" uniqueCount="34">
  <si>
    <t>CASOS DE PRUEBA - CALCULADORA DE IMPUESTOS COLOMBIA 2026</t>
  </si>
  <si>
    <t>ENTRADAS</t>
  </si>
  <si>
    <t>SALIDAS</t>
  </si>
  <si>
    <t>Tipo de Caso</t>
  </si>
  <si>
    <t>Ingresos Anuales (COP)</t>
  </si>
  <si>
    <t>Deducciones (COP)</t>
  </si>
  <si>
    <t>Aportes Pensión (COP)</t>
  </si>
  <si>
    <t>Aportes Salud (COP)</t>
  </si>
  <si>
    <t>Dependientes</t>
  </si>
  <si>
    <t>Vivienda Propia (1=Sí, 0=No)</t>
  </si>
  <si>
    <t>Renta Líquida Gravable</t>
  </si>
  <si>
    <t>Impuesto a Pagar (COP)</t>
  </si>
  <si>
    <t>Tasa Efectiva (%)</t>
  </si>
  <si>
    <t>Resultado Completo</t>
  </si>
  <si>
    <t>Casos Normales</t>
  </si>
  <si>
    <t>Caso Normal 1</t>
  </si>
  <si>
    <t>Caso Normal 2</t>
  </si>
  <si>
    <t>Casos Extraordinarios</t>
  </si>
  <si>
    <t>Casos de Error</t>
  </si>
  <si>
    <t>Error: Ingresos Negativos</t>
  </si>
  <si>
    <t>ERROR</t>
  </si>
  <si>
    <t>ERROR: Los ingresos no pueden ser negativos</t>
  </si>
  <si>
    <t>N/A</t>
  </si>
  <si>
    <t>Error: Deducciones Excesivas</t>
  </si>
  <si>
    <t>ERROR: Las deducciones no pueden superar los ingresos totales</t>
  </si>
  <si>
    <t>Error: Dependientes Negativos</t>
  </si>
  <si>
    <t>ERROR: El número de dependientes debe ser mayor o igual a cero</t>
  </si>
  <si>
    <t>Error: Campo Vacío</t>
  </si>
  <si>
    <t>ERROR: El campo de ingresos es obligatorio</t>
  </si>
  <si>
    <t>Error: Tipo Dato Incorrecto</t>
  </si>
  <si>
    <t>TEXTO</t>
  </si>
  <si>
    <t>ERROR: Los ingresos deben ser un valor numérico</t>
  </si>
  <si>
    <t>Casos Extraordinarios 1</t>
  </si>
  <si>
    <t>Casos Extraordinario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</si>
</sst>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366092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sz val="10"/>
      <color rgb="FFC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tabSelected="1" zoomScaleNormal="100" workbookViewId="0">
      <selection activeCell="I6" sqref="I6"/>
    </sheetView>
  </sheetViews>
  <sheetFormatPr baseColWidth="10" defaultColWidth="8.6640625" defaultRowHeight="14.4" x14ac:dyDescent="0.3"/>
  <cols>
    <col min="1" max="1" width="22" customWidth="1"/>
    <col min="2" max="2" width="20" customWidth="1"/>
    <col min="3" max="3" width="18" customWidth="1"/>
    <col min="4" max="4" width="20" customWidth="1"/>
    <col min="5" max="5" width="18" customWidth="1"/>
    <col min="6" max="6" width="12" customWidth="1"/>
    <col min="7" max="9" width="22" customWidth="1"/>
    <col min="10" max="10" width="18" customWidth="1"/>
    <col min="11" max="11" width="50" customWidth="1"/>
  </cols>
  <sheetData>
    <row r="1" spans="1:11" ht="17.2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3" spans="1:11" ht="24.75" customHeight="1" x14ac:dyDescent="0.3">
      <c r="A3" s="7" t="s">
        <v>1</v>
      </c>
      <c r="B3" s="7"/>
      <c r="C3" s="7"/>
      <c r="D3" s="7"/>
      <c r="E3" s="7"/>
      <c r="F3" s="7"/>
      <c r="G3" s="7"/>
      <c r="H3" s="7" t="s">
        <v>2</v>
      </c>
      <c r="I3" s="7"/>
      <c r="J3" s="7"/>
    </row>
    <row r="4" spans="1:11" ht="26.2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</row>
    <row r="5" spans="1:11" ht="15" customHeight="1" x14ac:dyDescent="0.3">
      <c r="A5" s="2" t="s">
        <v>14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79.4" customHeight="1" x14ac:dyDescent="0.3">
      <c r="A6" s="3" t="s">
        <v>15</v>
      </c>
      <c r="B6" s="4">
        <v>80000000</v>
      </c>
      <c r="C6" s="4">
        <v>10000000</v>
      </c>
      <c r="D6" s="4">
        <v>6400000</v>
      </c>
      <c r="E6" s="4">
        <v>3200000</v>
      </c>
      <c r="F6" s="3">
        <v>2</v>
      </c>
      <c r="G6" s="3">
        <v>1</v>
      </c>
      <c r="H6" s="3">
        <f>MAX(0, B6-C6-D6-E6)</f>
        <v>60400000</v>
      </c>
      <c r="I6" s="3">
        <f>IF((H6/52374)&lt;=1090, 0,
IF((H6/52374)&lt;=1700, ROUND(((H6/52374)-1090)*0.19*52374,0),
IF((H6/52374)&lt;=4100, ROUND((116 + ((H6/52374)-1700)*0.28)*52374,0),
IF((H6/52374)&lt;=8670, ROUND((788 + ((H6/52374)-4100)*0.33)*52374,0),
IF((H6/52374)&lt;=18970, ROUND((2296 + ((H6/52374)-8670)*0.35)*52374,0),
IF((H6/52374)&lt;=31000, ROUND((5901 + ((H6/52374)-18970)*0.37)*52374,0),
ROUND((10352 + ((H6/52374)-31000)*0.39)*52374,0)))))))</f>
        <v>629345</v>
      </c>
      <c r="J6" s="3">
        <f>IF(B6&gt;0, (I6/B6)*100, 0)</f>
        <v>0.78668125</v>
      </c>
      <c r="K6" s="3" t="str">
        <f>A6&amp;CHAR(10)&amp;"Entradas:"&amp;CHAR(10)&amp;"- Ingresos: $"&amp;TEXT(B6,"#,##0")&amp;CHAR(10)&amp;"- Deducciones: $"&amp;TEXT(C6,"#,##0")&amp;CHAR(10)&amp;"- Pensión: $"&amp;TEXT(D6,"#,##0")&amp;CHAR(10)&amp;"- Salud: $"&amp;TEXT(E6,"#,##0")&amp;CHAR(10)&amp;"- Dependientes: "&amp;F6&amp;CHAR(10)&amp;"Salidas:"&amp;CHAR(10)&amp;"- Impuesto: $"&amp;TEXT(ROUND(I6,0),"#,##0")&amp;CHAR(10)&amp;"- Tasa: "&amp;TEXT(J6,"0.00")&amp;"%"</f>
        <v>Caso Normal 1
Entradas:
- Ingresos: $80000000,0
- Deducciones: $10000000,0
- Pensión: $6400000,0
- Salud: $3200000,0
- Dependientes: 2
Salidas:
- Impuesto: $629345,0
- Tasa: 001%</v>
      </c>
    </row>
    <row r="7" spans="1:11" ht="164.4" customHeight="1" x14ac:dyDescent="0.3">
      <c r="A7" s="3" t="s">
        <v>16</v>
      </c>
      <c r="B7" s="4">
        <v>150000000</v>
      </c>
      <c r="C7" s="4">
        <v>20000000</v>
      </c>
      <c r="D7" s="4">
        <v>12000000</v>
      </c>
      <c r="E7" s="4">
        <v>6000000</v>
      </c>
      <c r="F7" s="3">
        <v>1</v>
      </c>
      <c r="G7" s="3">
        <v>0</v>
      </c>
      <c r="H7" s="3">
        <f>MAX(0, B7-C7-D7-E7)</f>
        <v>112000000</v>
      </c>
      <c r="I7" s="3">
        <f>IF((H7/52374)&lt;=1090, 0,
IF((H7/52374)&lt;=1700, ROUND(((H7/52374)-1090)*0.19*52374,0),
IF((H7/52374)&lt;=4100, ROUND((116 + ((H7/52374)-1700)*0.28)*52374,0),
IF((H7/52374)&lt;=8670, ROUND((788 + ((H7/52374)-4100)*0.33)*52374,0),
IF((H7/52374)&lt;=18970, ROUND((2296 + ((H7/52374)-8670)*0.35)*52374,0),
IF((H7/52374)&lt;=31000, ROUND((5901 + ((H7/52374)-18970)*0.37)*52374,0),
ROUND((10352 + ((H7/52374)-31000)*0.39)*52374,0)))))))</f>
        <v>12505360</v>
      </c>
      <c r="J7" s="3">
        <f>IF(B7&gt;0, (I7/B7)*100, 0)</f>
        <v>8.3369066666666676</v>
      </c>
      <c r="K7" s="3" t="str">
        <f>A7&amp;CHAR(10)&amp;"Entradas:"&amp;CHAR(10)&amp;"- Ingresos: $"&amp;TEXT(B7,"#,##0")&amp;CHAR(10)&amp;"- Deducciones: $"&amp;TEXT(C7,"#,##0")&amp;CHAR(10)&amp;"- Pensión: $"&amp;TEXT(D7,"#,##0")&amp;CHAR(10)&amp;"- Salud: $"&amp;TEXT(E7,"#,##0")&amp;CHAR(10)&amp;"- Dependientes: "&amp;F7&amp;CHAR(10)&amp;"Salidas:"&amp;CHAR(10)&amp;"- Impuesto: $"&amp;TEXT(ROUND(I7,0),"#,##0")&amp;CHAR(10)&amp;"- Tasa: "&amp;TEXT(J7,"0.00")&amp;"%"</f>
        <v>Caso Normal 2
Entradas:
- Ingresos: $150000000,0
- Deducciones: $20000000,0
- Pensión: $12000000,0
- Salud: $6000000,0
- Dependientes: 1
Salidas:
- Impuesto: $12505360,0
- Tasa: 008%</v>
      </c>
    </row>
    <row r="8" spans="1:11" ht="1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26.25" customHeight="1" x14ac:dyDescent="0.3">
      <c r="A9" s="2" t="s">
        <v>17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35.75" customHeight="1" x14ac:dyDescent="0.3">
      <c r="A10" s="3" t="s">
        <v>32</v>
      </c>
      <c r="B10" s="4">
        <v>600000000</v>
      </c>
      <c r="C10" s="4">
        <v>60000000</v>
      </c>
      <c r="D10" s="4">
        <v>48000000</v>
      </c>
      <c r="E10" s="4">
        <v>24000000</v>
      </c>
      <c r="F10" s="3">
        <v>4</v>
      </c>
      <c r="G10" s="3">
        <v>1</v>
      </c>
      <c r="H10" s="3">
        <f>MAX(0, B10-C10-D10-E10)</f>
        <v>468000000</v>
      </c>
      <c r="I10" s="3">
        <f>IF((H10/52374)&lt;=1090, 0,
IF((H10/52374)&lt;=1700, ROUND(((H10/52374)-1090)*0.19*52374,0),
IF((H10/52374)&lt;=4100, ROUND((116 + ((H10/52374)-1700)*0.28)*52374,0),
IF((H10/52374)&lt;=8670, ROUND((788 + ((H10/52374)-4100)*0.33)*52374,0),
IF((H10/52374)&lt;=18970, ROUND((2296 + ((H10/52374)-8670)*0.35)*52374,0),
IF((H10/52374)&lt;=31000, ROUND((5901 + ((H10/52374)-18970)*0.37)*52374,0),
ROUND((10352 + ((H10/52374)-31000)*0.39)*52374,0)))))))</f>
        <v>125121801</v>
      </c>
      <c r="J10" s="3">
        <f>IF(B10&gt;0, (I10/B10)*100, 0)</f>
        <v>20.853633499999997</v>
      </c>
      <c r="K10" s="3" t="str">
        <f>A10&amp;CHAR(10)&amp;"Entradas:"&amp;CHAR(10)&amp;"- Ingresos: $"&amp;TEXT(B10,"#,##0")&amp;CHAR(10)&amp;"- Deducciones: $"&amp;TEXT(C10,"#,##0")&amp;CHAR(10)&amp;"- Pensión: $"&amp;TEXT(D10,"#,##0")&amp;CHAR(10)&amp;"- Salud: $"&amp;TEXT(E10,"#,##0")&amp;CHAR(10)&amp;"- Dependientes: "&amp;F10&amp;CHAR(10)&amp;"Salidas:"&amp;CHAR(10)&amp;"- Impuesto: $"&amp;TEXT(ROUND(I10,0),"#,##0")&amp;CHAR(10)&amp;"- Tasa: "&amp;TEXT(J10,"0.00")&amp;"%"</f>
        <v>Casos Extraordinarios 1
Entradas:
- Ingresos: $600000000,0
- Deducciones: $60000000,0
- Pensión: $48000000,0
- Salud: $24000000,0
- Dependientes: 4
Salidas:
- Impuesto: $125121801,0
- Tasa: 021%</v>
      </c>
    </row>
    <row r="11" spans="1:11" ht="135.75" customHeight="1" x14ac:dyDescent="0.3">
      <c r="A11" s="3" t="s">
        <v>33</v>
      </c>
      <c r="B11" s="4">
        <v>15000000</v>
      </c>
      <c r="C11" s="4">
        <v>0</v>
      </c>
      <c r="D11" s="4">
        <v>1200000</v>
      </c>
      <c r="E11" s="4">
        <v>600000</v>
      </c>
      <c r="F11" s="3">
        <v>0</v>
      </c>
      <c r="G11" s="3">
        <v>0</v>
      </c>
      <c r="H11" s="3">
        <f>MAX(0, B11-C11-D11-E11)</f>
        <v>13200000</v>
      </c>
      <c r="I11" s="3">
        <f>IF((H11/52374)&lt;=1090, 0,
IF((H11/52374)&lt;=1700, ROUND(((H11/52374)-1090)*0.19*52374,0),
IF((H11/52374)&lt;=4100, ROUND((116 + ((H11/52374)-1700)*0.28)*52374,0),
IF((H11/52374)&lt;=8670, ROUND((788 + ((H11/52374)-4100)*0.33)*52374,0),
IF((H11/52374)&lt;=18970, ROUND((2296 + ((H11/52374)-8670)*0.35)*52374,0),
IF((H11/52374)&lt;=31000, ROUND((5901 + ((H11/52374)-18970)*0.37)*52374,0),
ROUND((10352 + ((H11/52374)-31000)*0.39)*52374,0)))))))</f>
        <v>0</v>
      </c>
      <c r="J11" s="3">
        <f>IF(B11&gt;0, (I11/B11)*100, 0)</f>
        <v>0</v>
      </c>
      <c r="K11" s="3" t="str">
        <f>A11&amp;CHAR(10)&amp;"Entradas:"&amp;CHAR(10)&amp;"- Ingresos: $"&amp;TEXT(B11,"#,##0")&amp;CHAR(10)&amp;"- Deducciones: $"&amp;TEXT(C11,"#,##0")&amp;CHAR(10)&amp;"- Pensión: $"&amp;TEXT(D11,"#,##0")&amp;CHAR(10)&amp;"- Salud: $"&amp;TEXT(E11,"#,##0")&amp;CHAR(10)&amp;"- Dependientes: "&amp;F11&amp;CHAR(10)&amp;"Salidas:"&amp;CHAR(10)&amp;"- Impuesto: $"&amp;TEXT(ROUND(I11,0),"#,##0")&amp;CHAR(10)&amp;"- Tasa: "&amp;TEXT(J11,"0.00")&amp;"%"</f>
        <v>Casos Extraordinario 2
Entradas:
- Ingresos: $15000000,0
- Deducciones: $,0
- Pensión: $1200000,0
- Salud: $600000,0
- Dependientes: 0
Salidas:
- Impuesto: $,0
- Tasa: 000%</v>
      </c>
    </row>
    <row r="12" spans="1:11" ht="1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" customHeight="1" x14ac:dyDescent="0.3">
      <c r="A13" s="2" t="s">
        <v>18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54.75" customHeight="1" x14ac:dyDescent="0.3">
      <c r="A14" s="3" t="s">
        <v>19</v>
      </c>
      <c r="B14" s="4">
        <v>-50000000</v>
      </c>
      <c r="C14" s="4">
        <v>5000000</v>
      </c>
      <c r="D14" s="4">
        <v>4000000</v>
      </c>
      <c r="E14" s="4">
        <v>2000000</v>
      </c>
      <c r="F14" s="3">
        <v>1</v>
      </c>
      <c r="G14" s="3">
        <v>1</v>
      </c>
      <c r="H14" s="3" t="s">
        <v>20</v>
      </c>
      <c r="I14" s="5" t="s">
        <v>21</v>
      </c>
      <c r="J14" s="3" t="s">
        <v>22</v>
      </c>
      <c r="K14" s="3" t="str">
        <f>A14&amp;CHAR(10)&amp;"Entradas:"&amp;CHAR(10)&amp;"- Ingresos: $"&amp;TEXT(B14,"#,##0")&amp;CHAR(10)&amp;"Error: Los ingresos deben ser mayores o iguales a cero"</f>
        <v>Error: Ingresos Negativos
Entradas:
- Ingresos: $-50000000,0
Error: Los ingresos deben ser mayores o iguales a cero</v>
      </c>
    </row>
    <row r="15" spans="1:11" ht="68.25" customHeight="1" x14ac:dyDescent="0.3">
      <c r="A15" s="3" t="s">
        <v>23</v>
      </c>
      <c r="B15" s="4">
        <v>50000000</v>
      </c>
      <c r="C15" s="4">
        <v>60000000</v>
      </c>
      <c r="D15" s="4">
        <v>4000000</v>
      </c>
      <c r="E15" s="4">
        <v>2000000</v>
      </c>
      <c r="F15" s="3">
        <v>2</v>
      </c>
      <c r="G15" s="3">
        <v>0</v>
      </c>
      <c r="H15" s="3" t="str">
        <f>IF(C15&gt;B15, "ERROR", MAX(0, B15-C15-D15-E15))</f>
        <v>ERROR</v>
      </c>
      <c r="I15" s="5" t="s">
        <v>24</v>
      </c>
      <c r="J15" s="3" t="s">
        <v>22</v>
      </c>
      <c r="K15" s="3" t="str">
        <f>A15&amp;CHAR(10)&amp;"Entradas:"&amp;CHAR(10)&amp;"- Ingresos: $"&amp;TEXT(B15,"#,##0")&amp;CHAR(10)&amp;"- Deducciones: $"&amp;TEXT(C15,"#,##0")&amp;CHAR(10)&amp;"Error: Las deducciones superan los ingresos"</f>
        <v>Error: Deducciones Excesivas
Entradas:
- Ingresos: $50000000,0
- Deducciones: $60000000,0
Error: Las deducciones superan los ingresos</v>
      </c>
    </row>
    <row r="16" spans="1:11" ht="54.75" customHeight="1" x14ac:dyDescent="0.3">
      <c r="A16" s="3" t="s">
        <v>25</v>
      </c>
      <c r="B16" s="4">
        <v>80000000</v>
      </c>
      <c r="C16" s="4">
        <v>10000000</v>
      </c>
      <c r="D16" s="4">
        <v>6400000</v>
      </c>
      <c r="E16" s="4">
        <v>3200000</v>
      </c>
      <c r="F16" s="3">
        <v>-2</v>
      </c>
      <c r="G16" s="3">
        <v>1</v>
      </c>
      <c r="H16" s="3" t="s">
        <v>20</v>
      </c>
      <c r="I16" s="5" t="s">
        <v>26</v>
      </c>
      <c r="J16" s="3" t="s">
        <v>22</v>
      </c>
      <c r="K16" s="3" t="str">
        <f>A16&amp;CHAR(10)&amp;"Entradas:"&amp;CHAR(10)&amp;"- Dependientes: "&amp;F16&amp;CHAR(10)&amp;"Error: Los dependientes no pueden ser negativos"</f>
        <v>Error: Dependientes Negativos
Entradas:
- Dependientes: -2
Error: Los dependientes no pueden ser negativos</v>
      </c>
    </row>
    <row r="17" spans="1:11" ht="27.75" customHeight="1" x14ac:dyDescent="0.3">
      <c r="A17" s="3" t="s">
        <v>27</v>
      </c>
      <c r="B17" s="3"/>
      <c r="C17" s="4">
        <v>8000000</v>
      </c>
      <c r="D17" s="4">
        <v>5000000</v>
      </c>
      <c r="E17" s="4">
        <v>2500000</v>
      </c>
      <c r="F17" s="3">
        <v>1</v>
      </c>
      <c r="G17" s="3">
        <v>1</v>
      </c>
      <c r="H17" s="3" t="s">
        <v>20</v>
      </c>
      <c r="I17" s="5" t="s">
        <v>28</v>
      </c>
      <c r="J17" s="3" t="s">
        <v>22</v>
      </c>
      <c r="K17" s="3" t="str">
        <f>A17&amp;CHAR(10)&amp;"Error: El campo de ingresos está vacío y es obligatorio"</f>
        <v>Error: Campo Vacío
Error: El campo de ingresos está vacío y es obligatorio</v>
      </c>
    </row>
    <row r="18" spans="1:11" ht="54.75" customHeight="1" x14ac:dyDescent="0.3">
      <c r="A18" s="3" t="s">
        <v>29</v>
      </c>
      <c r="B18" s="3" t="s">
        <v>30</v>
      </c>
      <c r="C18" s="4">
        <v>10000000</v>
      </c>
      <c r="D18" s="4">
        <v>8000000</v>
      </c>
      <c r="E18" s="4">
        <v>4000000</v>
      </c>
      <c r="F18" s="3">
        <v>3</v>
      </c>
      <c r="G18" s="3">
        <v>1</v>
      </c>
      <c r="H18" s="3" t="s">
        <v>20</v>
      </c>
      <c r="I18" s="5" t="s">
        <v>31</v>
      </c>
      <c r="J18" s="3" t="s">
        <v>22</v>
      </c>
      <c r="K18" s="3" t="str">
        <f>A18&amp;CHAR(10)&amp;"Entradas:"&amp;CHAR(10)&amp;"- Ingresos: "&amp;B18&amp;CHAR(10)&amp;"Error: El valor debe ser numérico"</f>
        <v>Error: Tipo Dato Incorrecto
Entradas:
- Ingresos: TEXTO
Error: El valor debe ser numérico</v>
      </c>
    </row>
  </sheetData>
  <mergeCells count="3">
    <mergeCell ref="A1:K1"/>
    <mergeCell ref="A3:G3"/>
    <mergeCell ref="H3:J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Prueba Impuestos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Jp</cp:lastModifiedBy>
  <cp:revision>0</cp:revision>
  <dcterms:created xsi:type="dcterms:W3CDTF">2026-02-12T22:46:01Z</dcterms:created>
  <dcterms:modified xsi:type="dcterms:W3CDTF">2026-02-25T14:54:59Z</dcterms:modified>
  <dc:language>en-US</dc:language>
</cp:coreProperties>
</file>