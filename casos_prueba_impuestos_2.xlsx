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EE862EE-E269-4C3F-8B68-3AADFEA0B0A9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Casos Prueba Impuesto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2" i="1" l="1"/>
  <c r="I12" i="1"/>
  <c r="J12" i="1" s="1"/>
  <c r="I7" i="1"/>
  <c r="J7" i="1" s="1"/>
  <c r="I11" i="1"/>
  <c r="J11" i="1" s="1"/>
  <c r="I10" i="1"/>
  <c r="J10" i="1" s="1"/>
  <c r="I8" i="1"/>
  <c r="J8" i="1" s="1"/>
  <c r="I6" i="1"/>
  <c r="J6" i="1" s="1"/>
  <c r="L12" i="1" l="1"/>
  <c r="L7" i="1"/>
  <c r="K7" i="1"/>
  <c r="K11" i="1"/>
  <c r="L11" i="1"/>
  <c r="K10" i="1"/>
  <c r="L10" i="1"/>
  <c r="K8" i="1"/>
  <c r="L8" i="1"/>
  <c r="K6" i="1"/>
  <c r="L6" i="1"/>
</calcChain>
</file>

<file path=xl/sharedStrings.xml><?xml version="1.0" encoding="utf-8"?>
<sst xmlns="http://schemas.openxmlformats.org/spreadsheetml/2006/main" count="50" uniqueCount="46">
  <si>
    <t>CASOS DE PRUEBA - CALCULADORA DE IMPUESTOS COLOMBIA 2026</t>
  </si>
  <si>
    <t>ENTRADAS</t>
  </si>
  <si>
    <t>SALIDAS</t>
  </si>
  <si>
    <t>Tipo de Caso</t>
  </si>
  <si>
    <t>Ingresos Anuales (COP)</t>
  </si>
  <si>
    <t>Deducciones Generales (COP)</t>
  </si>
  <si>
    <t>Aportes Pensión (COP)</t>
  </si>
  <si>
    <t>Aportes Salud (COP)</t>
  </si>
  <si>
    <t>Dependientes</t>
  </si>
  <si>
    <t>Vivienda Propia (1=Sí, 0=No)</t>
  </si>
  <si>
    <t>Intereses Vivienda (COP)</t>
  </si>
  <si>
    <t>Renta Líquida Gravable (COP)</t>
  </si>
  <si>
    <t>Impuesto a Pagar (COP)</t>
  </si>
  <si>
    <t>Tasa Efectiva (%)</t>
  </si>
  <si>
    <t>Ahorro vs Sin Deducciones (COP)</t>
  </si>
  <si>
    <t>Casos Normales</t>
  </si>
  <si>
    <t>Caso Normal 1</t>
  </si>
  <si>
    <t>Caso Normal 2</t>
  </si>
  <si>
    <t>Casos Extraordinarios</t>
  </si>
  <si>
    <t>Casos de Error</t>
  </si>
  <si>
    <t>Error: Ingresos Negativos</t>
  </si>
  <si>
    <t>ERROR</t>
  </si>
  <si>
    <t>ERROR: Los ingresos no pueden ser negativos</t>
  </si>
  <si>
    <t>Error: Deducciones Excesivas</t>
  </si>
  <si>
    <t>ERROR: Las deducciones no pueden superar los ingresos totales</t>
  </si>
  <si>
    <t>Error: Dependientes Negativos</t>
  </si>
  <si>
    <t>ERROR: El número de dependientes debe ser mayor o igual a cero</t>
  </si>
  <si>
    <t>Error: Aportes Negativos</t>
  </si>
  <si>
    <t>ERROR: Los aportes a pensión no pueden ser negativos</t>
  </si>
  <si>
    <t>Error: Intereses Negativos</t>
  </si>
  <si>
    <t>ERROR: Los intereses de vivienda no pueden ser negativos</t>
  </si>
  <si>
    <t>NOTAS IMPORTANTES:</t>
  </si>
  <si>
    <t>• UVT 2026: $52,374 COP</t>
  </si>
  <si>
    <t>• Renta Exenta: 25% de ingresos (máx 790 UVT)</t>
  </si>
  <si>
    <t>• Deducción 10%: Hasta 384 UVT</t>
  </si>
  <si>
    <t>• Dependientes: 72 UVT por dependiente (máx 4)</t>
  </si>
  <si>
    <t>• Intereses Vivienda (ENTRADA): Son los intereses PAGADOS en el año por crédito hipotecario (máx 1,200 UVT deducibles)</t>
  </si>
  <si>
    <t>• Vivienda Propia: 1 = Tiene crédito hipotecario activo, 0 = No tiene</t>
  </si>
  <si>
    <t>• Límite Deducciones Especiales: 40% ingresos o 1,340 UVT (lo menor)</t>
  </si>
  <si>
    <t>• Deducciones de Seguridad Social (pensión y salud) no tienen límite</t>
  </si>
  <si>
    <t>• Columna "Ahorro": Diferencia de impuesto vs cálculo sin deducciones especiales</t>
  </si>
  <si>
    <t>• Casos de Error: Muestran validaciones que debe implementar el sistema</t>
  </si>
  <si>
    <t>Caso Normal 3</t>
  </si>
  <si>
    <t>Caso Extraordinario 1</t>
  </si>
  <si>
    <t>Caso Extraordinario 2</t>
  </si>
  <si>
    <t>Caso Extraordinario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</si>
</sst>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FFFFFF"/>
      <name val="Cambria"/>
      <charset val="1"/>
    </font>
    <font>
      <b/>
      <sz val="12"/>
      <color rgb="FFFFFFFF"/>
      <name val="Cambria"/>
      <charset val="1"/>
    </font>
    <font>
      <b/>
      <sz val="11"/>
      <color rgb="FFFFFFFF"/>
      <name val="Cambria"/>
      <charset val="1"/>
    </font>
    <font>
      <sz val="11"/>
      <color rgb="FF000000"/>
      <name val="Cambria"/>
      <charset val="1"/>
    </font>
    <font>
      <b/>
      <sz val="11"/>
      <color rgb="FFFF0000"/>
      <name val="Cambria"/>
      <charset val="1"/>
    </font>
    <font>
      <b/>
      <sz val="11"/>
      <name val="Cambria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244062"/>
      </patternFill>
    </fill>
    <fill>
      <patternFill patternType="solid">
        <fgColor rgb="FF244062"/>
        <bgColor rgb="FF1F4E78"/>
      </patternFill>
    </fill>
    <fill>
      <patternFill patternType="solid">
        <fgColor rgb="FF366092"/>
        <bgColor rgb="FF1F4E78"/>
      </patternFill>
    </fill>
    <fill>
      <patternFill patternType="solid">
        <fgColor rgb="FF538DD5"/>
        <bgColor rgb="FF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3" fontId="0" fillId="0" borderId="0" xfId="0" applyNumberFormat="1" applyAlignment="1">
      <alignment horizontal="right" vertical="center"/>
    </xf>
    <xf numFmtId="0" fontId="0" fillId="0" borderId="0" xfId="0" applyAlignment="1">
      <alignment horizontal="center"/>
    </xf>
    <xf numFmtId="3" fontId="4" fillId="0" borderId="0" xfId="0" applyNumberFormat="1" applyFont="1" applyAlignment="1">
      <alignment horizontal="right" vertical="center"/>
    </xf>
    <xf numFmtId="2" fontId="4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538DD5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24406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tabSelected="1" zoomScaleNormal="100" workbookViewId="0">
      <selection activeCell="K4" sqref="K4"/>
    </sheetView>
  </sheetViews>
  <sheetFormatPr baseColWidth="10" defaultColWidth="8.6328125" defaultRowHeight="14.5" x14ac:dyDescent="0.35"/>
  <cols>
    <col min="1" max="1" width="30" customWidth="1"/>
    <col min="2" max="5" width="20" customWidth="1"/>
    <col min="6" max="7" width="15" customWidth="1"/>
    <col min="8" max="8" width="20" customWidth="1"/>
    <col min="9" max="12" width="25" customWidth="1"/>
  </cols>
  <sheetData>
    <row r="1" spans="1:12" ht="24.75" customHeight="1" x14ac:dyDescent="0.3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ht="4.5" customHeight="1" x14ac:dyDescent="0.35"/>
    <row r="3" spans="1:12" ht="15" x14ac:dyDescent="0.35">
      <c r="A3" s="4" t="s">
        <v>1</v>
      </c>
      <c r="B3" s="4"/>
      <c r="C3" s="4"/>
      <c r="D3" s="4"/>
      <c r="E3" s="4"/>
      <c r="F3" s="4"/>
      <c r="G3" s="4"/>
      <c r="H3" s="4"/>
      <c r="I3" s="4" t="s">
        <v>2</v>
      </c>
      <c r="J3" s="4"/>
      <c r="K3" s="4"/>
      <c r="L3" s="4"/>
    </row>
    <row r="4" spans="1:12" ht="39.75" customHeight="1" x14ac:dyDescent="0.35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  <c r="L4" s="6" t="s">
        <v>14</v>
      </c>
    </row>
    <row r="5" spans="1:12" ht="19.5" customHeight="1" x14ac:dyDescent="0.35">
      <c r="A5" s="3" t="s">
        <v>15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35">
      <c r="A6" t="s">
        <v>16</v>
      </c>
      <c r="B6" s="7">
        <v>80000000</v>
      </c>
      <c r="C6" s="7">
        <v>10000000</v>
      </c>
      <c r="D6" s="7">
        <v>6400000</v>
      </c>
      <c r="E6" s="7">
        <v>3200000</v>
      </c>
      <c r="F6" s="8">
        <v>2</v>
      </c>
      <c r="G6" s="8">
        <v>1</v>
      </c>
      <c r="H6" s="7">
        <v>5000000</v>
      </c>
      <c r="I6" s="9">
        <f>MAX(0, B6 - MIN(B6*0.25, 790*52374) - (D6+E6) - MIN(C6 + MIN(B6*0.1, 384*52374) + 72*52374*MIN(F6,4) + IF(G6=1, MIN(H6, 1200*52374), 0), MIN(B6*0.4, 1340*52374)))</f>
        <v>19858144</v>
      </c>
      <c r="J6" s="9">
        <f>IF((I6/52374)&lt;=1090, 0,
IF((I6/52374)&lt;=1700, ROUND(((I6/52374)-1090)*0.19*52374,0),
IF((I6/52374)&lt;=4100, ROUND((116 + ((I6/52374)-1700)*0.28)*52374,0),
IF((I6/52374)&lt;=8670, ROUND((788 + ((I6/52374)-4100)*0.33)*52374,0),
IF((I6/52374)&lt;=18970, ROUND((2296 + ((I6/52374)-8670)*0.35)*52374,0),
IF((I6/52374)&lt;=31000, ROUND((5901 + ((I6/52374)-18970)*0.37)*52374,0),
ROUND((10352 + ((I6/52374)-31000)*0.39)*52374,0)))))))</f>
        <v>0</v>
      </c>
      <c r="K6" s="10">
        <f>IF(B6&gt;0, J6/B6*100, 0)</f>
        <v>0</v>
      </c>
      <c r="L6" s="9">
        <f>IF(((MAX(0, B6 - MIN(B6*0.25, 790*52374) - (D6+E6)))/52374)&lt;=1090, 0,
IF(((MAX(0, B6 - MIN(B6*0.25, 790*52374) - (D6+E6)))/52374)&lt;=1700, ROUND((((MAX(0, B6 - MIN(B6*0.25, 790*52374) - (D6+E6)))/52374)-1090)*0.19*52374,0),
IF(((MAX(0, B6 - MIN(B6*0.25, 790*52374) - (D6+E6)))/52374)&lt;=4100, ROUND((116 + (((MAX(0, B6 - MIN(B6*0.25, 790*52374) - (D6+E6)))/52374)-1700)*0.28)*52374,0),
IF(((MAX(0, B6 - MIN(B6*0.25, 790*52374) - (D6+E6)))/52374)&lt;=8670, ROUND((788 + (((MAX(0, B6 - MIN(B6*0.25, 790*52374) - (D6+E6)))/52374)-4100)*0.33)*52374,0),
IF(((MAX(0, B6 - MIN(B6*0.25, 790*52374) - (D6+E6)))/52374)&lt;=18970, ROUND((2296 + (((MAX(0, B6 - MIN(B6*0.25, 790*52374) - (D6+E6)))/52374)-8670)*0.35)*52374,0),
IF(((MAX(0, B6 - MIN(B6*0.25, 790*52374) - (D6+E6)))/52374)&lt;=31000, ROUND((5901 + (((MAX(0, B6 - MIN(B6*0.25, 790*52374) - (D6+E6)))/52374)-18970)*0.37)*52374,0),
ROUND((10352 + (((MAX(0, B6 - MIN(B6*0.25, 790*52374) - (D6+E6)))/52374)-31000)*0.39)*52374,0))))))) - J6</f>
        <v>0</v>
      </c>
    </row>
    <row r="7" spans="1:12" x14ac:dyDescent="0.35">
      <c r="A7" t="s">
        <v>17</v>
      </c>
      <c r="B7" s="7">
        <v>150000000</v>
      </c>
      <c r="C7" s="7">
        <v>20000000</v>
      </c>
      <c r="D7" s="7">
        <v>12000000</v>
      </c>
      <c r="E7" s="7">
        <v>6000000</v>
      </c>
      <c r="F7" s="8">
        <v>1</v>
      </c>
      <c r="G7" s="8">
        <v>0</v>
      </c>
      <c r="H7" s="7">
        <v>0</v>
      </c>
      <c r="I7" s="9">
        <f>MAX(0, B7 - MIN(B7*0.25, 790*52374) - (D7+E7) - MIN(C7 + MIN(B7*0.1, 384*52374) + 72*52374*MIN(F7,4) + IF(G7=1, MIN(H7, 1200*52374), 0), MIN(B7*0.4, 1340*52374)))</f>
        <v>55729072</v>
      </c>
      <c r="J7" s="9">
        <f>IF((I7/52374)&lt;=1090, 0,
IF((I7/52374)&lt;=1700, ROUND(((I7/52374)-1090)*0.19*52374,0),
IF((I7/52374)&lt;=4100, ROUND((116 + ((I7/52374)-1700)*0.28)*52374,0),
IF((I7/52374)&lt;=8670, ROUND((788 + ((I7/52374)-4100)*0.33)*52374,0),
IF((I7/52374)&lt;=18970, ROUND((2296 + ((I7/52374)-8670)*0.35)*52374,0),
IF((I7/52374)&lt;=31000, ROUND((5901 + ((I7/52374)-18970)*0.37)*52374,0),
ROUND((10352 + ((I7/52374)-31000)*0.39)*52374,0)))))))</f>
        <v>0</v>
      </c>
      <c r="K7" s="10">
        <f>IF(B7&gt;0, J7/B7*100, 0)</f>
        <v>0</v>
      </c>
      <c r="L7" s="9">
        <f>IF(((MAX(0, B7 - MIN(B7*0.25, 790*52374) - (D7+E7)))/52374)&lt;=1090, 0,
IF(((MAX(0, B7 - MIN(B7*0.25, 790*52374) - (D7+E7)))/52374)&lt;=1700, ROUND((((MAX(0, B7 - MIN(B7*0.25, 790*52374) - (D7+E7)))/52374)-1090)*0.19*52374,0),
IF(((MAX(0, B7 - MIN(B7*0.25, 790*52374) - (D7+E7)))/52374)&lt;=4100, ROUND((116 + (((MAX(0, B7 - MIN(B7*0.25, 790*52374) - (D7+E7)))/52374)-1700)*0.28)*52374,0),
IF(((MAX(0, B7 - MIN(B7*0.25, 790*52374) - (D7+E7)))/52374)&lt;=8670, ROUND((788 + (((MAX(0, B7 - MIN(B7*0.25, 790*52374) - (D7+E7)))/52374)-4100)*0.33)*52374,0),
IF(((MAX(0, B7 - MIN(B7*0.25, 790*52374) - (D7+E7)))/52374)&lt;=18970, ROUND((2296 + (((MAX(0, B7 - MIN(B7*0.25, 790*52374) - (D7+E7)))/52374)-8670)*0.35)*52374,0),
IF(((MAX(0, B7 - MIN(B7*0.25, 790*52374) - (D7+E7)))/52374)&lt;=31000, ROUND((5901 + (((MAX(0, B7 - MIN(B7*0.25, 790*52374) - (D7+E7)))/52374)-18970)*0.37)*52374,0),
ROUND((10352 + (((MAX(0, B7 - MIN(B7*0.25, 790*52374) - (D7+E7)))/52374)-31000)*0.39)*52374,0))))))) - J7</f>
        <v>7605360</v>
      </c>
    </row>
    <row r="8" spans="1:12" ht="19.5" customHeight="1" x14ac:dyDescent="0.35">
      <c r="A8" t="s">
        <v>42</v>
      </c>
      <c r="B8" s="7">
        <v>200000000</v>
      </c>
      <c r="C8" s="7">
        <v>15000000</v>
      </c>
      <c r="D8" s="7">
        <v>10000000</v>
      </c>
      <c r="E8" s="7">
        <v>5000000</v>
      </c>
      <c r="F8" s="8">
        <v>0</v>
      </c>
      <c r="G8" s="8">
        <v>1</v>
      </c>
      <c r="H8" s="7">
        <v>2000000</v>
      </c>
      <c r="I8" s="9">
        <f>MAX(0, B8 - MIN(B8*0.25, 790*52374) - (D8+E8) - MIN(C8 + MIN(B8*0.1, 384*52374) + 72*52374*MIN(F8,4) + IF(G8=1, MIN(H8, 1200*52374), 0), MIN(B8*0.4, 1340*52374)))</f>
        <v>106624540</v>
      </c>
      <c r="J8" s="9">
        <f>IF((I8/52374)&lt;=1090, 0,
IF((I8/52374)&lt;=1700, ROUND(((I8/52374)-1090)*0.19*52374,0),
IF((I8/52374)&lt;=4100, ROUND((116 + ((I8/52374)-1700)*0.28)*52374,0),
IF((I8/52374)&lt;=8670, ROUND((788 + ((I8/52374)-4100)*0.33)*52374,0),
IF((I8/52374)&lt;=18970, ROUND((2296 + ((I8/52374)-8670)*0.35)*52374,0),
IF((I8/52374)&lt;=31000, ROUND((5901 + ((I8/52374)-18970)*0.37)*52374,0),
ROUND((10352 + ((I8/52374)-31000)*0.39)*52374,0)))))))</f>
        <v>11000231</v>
      </c>
      <c r="K8" s="10">
        <f>IF(B8&gt;0, J8/B8*100, 0)</f>
        <v>5.5001155000000006</v>
      </c>
      <c r="L8" s="9">
        <f>IF(((MAX(0, B8 - MIN(B8*0.25, 790*52374) - (D8+E8)))/52374)&lt;=1090, 0,
IF(((MAX(0, B8 - MIN(B8*0.25, 790*52374) - (D8+E8)))/52374)&lt;=1700, ROUND((((MAX(0, B8 - MIN(B8*0.25, 790*52374) - (D8+E8)))/52374)-1090)*0.19*52374,0),
IF(((MAX(0, B8 - MIN(B8*0.25, 790*52374) - (D8+E8)))/52374)&lt;=4100, ROUND((116 + (((MAX(0, B8 - MIN(B8*0.25, 790*52374) - (D8+E8)))/52374)-1700)*0.28)*52374,0),
IF(((MAX(0, B8 - MIN(B8*0.25, 790*52374) - (D8+E8)))/52374)&lt;=8670, ROUND((788 + (((MAX(0, B8 - MIN(B8*0.25, 790*52374) - (D8+E8)))/52374)-4100)*0.33)*52374,0),
IF(((MAX(0, B8 - MIN(B8*0.25, 790*52374) - (D8+E8)))/52374)&lt;=18970, ROUND((2296 + (((MAX(0, B8 - MIN(B8*0.25, 790*52374) - (D8+E8)))/52374)-8670)*0.35)*52374,0),
IF(((MAX(0, B8 - MIN(B8*0.25, 790*52374) - (D8+E8)))/52374)&lt;=31000, ROUND((5901 + (((MAX(0, B8 - MIN(B8*0.25, 790*52374) - (D8+E8)))/52374)-18970)*0.37)*52374,0),
ROUND((10352 + (((MAX(0, B8 - MIN(B8*0.25, 790*52374) - (D8+E8)))/52374)-31000)*0.39)*52374,0))))))) - J8</f>
        <v>10360000</v>
      </c>
    </row>
    <row r="9" spans="1:12" x14ac:dyDescent="0.35">
      <c r="A9" s="3" t="s">
        <v>18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12" x14ac:dyDescent="0.35">
      <c r="A10" t="s">
        <v>43</v>
      </c>
      <c r="B10" s="7">
        <v>600000000</v>
      </c>
      <c r="C10" s="7">
        <v>60000000</v>
      </c>
      <c r="D10" s="7">
        <v>48000000</v>
      </c>
      <c r="E10" s="7">
        <v>24000000</v>
      </c>
      <c r="F10" s="8">
        <v>4</v>
      </c>
      <c r="G10" s="8">
        <v>1</v>
      </c>
      <c r="H10" s="7">
        <v>25000000</v>
      </c>
      <c r="I10" s="9">
        <f>MAX(0, B10 - MIN(B10*0.25, 790*52374) - (D10+E10) - MIN(C10 + MIN(B10*0.1, 384*52374) + 72*52374*MIN(F10,4) + IF(G10=1, MIN(H10, 1200*52374), 0), MIN(B10*0.4, 1340*52374)))</f>
        <v>416443380</v>
      </c>
      <c r="J10" s="9">
        <f>IF((I10/52374)&lt;=1090, 0,
IF((I10/52374)&lt;=1700, ROUND(((I10/52374)-1090)*0.19*52374,0),
IF((I10/52374)&lt;=4100, ROUND((116 + ((I10/52374)-1700)*0.28)*52374,0),
IF((I10/52374)&lt;=8670, ROUND((788 + ((I10/52374)-4100)*0.33)*52374,0),
IF((I10/52374)&lt;=18970, ROUND((2296 + ((I10/52374)-8670)*0.35)*52374,0),
IF((I10/52374)&lt;=31000, ROUND((5901 + ((I10/52374)-18970)*0.37)*52374,0),
ROUND((10352 + ((I10/52374)-31000)*0.39)*52374,0)))))))</f>
        <v>107835005</v>
      </c>
      <c r="K10" s="10">
        <f>IF(B10&gt;0, J10/B10*100, 0)</f>
        <v>17.972500833333331</v>
      </c>
      <c r="L10" s="9">
        <f>IF(((MAX(0, B10 - MIN(B10*0.25, 790*52374) - (D10+E10)))/52374)&lt;=1090, 0,
IF(((MAX(0, B10 - MIN(B10*0.25, 790*52374) - (D10+E10)))/52374)&lt;=1700, ROUND((((MAX(0, B10 - MIN(B10*0.25, 790*52374) - (D10+E10)))/52374)-1090)*0.19*52374,0),
IF(((MAX(0, B10 - MIN(B10*0.25, 790*52374) - (D10+E10)))/52374)&lt;=4100, ROUND((116 + (((MAX(0, B10 - MIN(B10*0.25, 790*52374) - (D10+E10)))/52374)-1700)*0.28)*52374,0),
IF(((MAX(0, B10 - MIN(B10*0.25, 790*52374) - (D10+E10)))/52374)&lt;=8670, ROUND((788 + (((MAX(0, B10 - MIN(B10*0.25, 790*52374) - (D10+E10)))/52374)-4100)*0.33)*52374,0),
IF(((MAX(0, B10 - MIN(B10*0.25, 790*52374) - (D10+E10)))/52374)&lt;=18970, ROUND((2296 + (((MAX(0, B10 - MIN(B10*0.25, 790*52374) - (D10+E10)))/52374)-8670)*0.35)*52374,0),
IF(((MAX(0, B10 - MIN(B10*0.25, 790*52374) - (D10+E10)))/52374)&lt;=31000, ROUND((5901 + (((MAX(0, B10 - MIN(B10*0.25, 790*52374) - (D10+E10)))/52374)-18970)*0.37)*52374,0),
ROUND((10352 + (((MAX(0, B10 - MIN(B10*0.25, 790*52374) - (D10+E10)))/52374)-31000)*0.39)*52374,0))))))) - J10</f>
        <v>23805385</v>
      </c>
    </row>
    <row r="11" spans="1:12" x14ac:dyDescent="0.35">
      <c r="A11" t="s">
        <v>44</v>
      </c>
      <c r="B11" s="7">
        <v>15000000</v>
      </c>
      <c r="C11" s="7">
        <v>0</v>
      </c>
      <c r="D11" s="7">
        <v>1200000</v>
      </c>
      <c r="E11" s="7">
        <v>600000</v>
      </c>
      <c r="F11" s="8">
        <v>0</v>
      </c>
      <c r="G11" s="8">
        <v>0</v>
      </c>
      <c r="H11" s="7">
        <v>0</v>
      </c>
      <c r="I11" s="9">
        <f>MAX(0, B11 - MIN(B11*0.25, 790*52374) - (D11+E11) - MIN(C11 + MIN(B11*0.1, 384*52374) + 72*52374*MIN(F11,4) + IF(G11=1, MIN(H11, 1200*52374), 0), MIN(B11*0.4, 1340*52374)))</f>
        <v>7950000</v>
      </c>
      <c r="J11" s="9">
        <f>IF((I11/52374)&lt;=1090, 0,
IF((I11/52374)&lt;=1700, ROUND(((I11/52374)-1090)*0.19*52374,0),
IF((I11/52374)&lt;=4100, ROUND((116 + ((I11/52374)-1700)*0.28)*52374,0),
IF((I11/52374)&lt;=8670, ROUND((788 + ((I11/52374)-4100)*0.33)*52374,0),
IF((I11/52374)&lt;=18970, ROUND((2296 + ((I11/52374)-8670)*0.35)*52374,0),
IF((I11/52374)&lt;=31000, ROUND((5901 + ((I11/52374)-18970)*0.37)*52374,0),
ROUND((10352 + ((I11/52374)-31000)*0.39)*52374,0)))))))</f>
        <v>0</v>
      </c>
      <c r="K11" s="10">
        <f>IF(B11&gt;0, J11/B11*100, 0)</f>
        <v>0</v>
      </c>
      <c r="L11" s="9">
        <f>IF(((MAX(0, B11 - MIN(B11*0.25, 790*52374) - (D11+E11)))/52374)&lt;=1090, 0,
IF(((MAX(0, B11 - MIN(B11*0.25, 790*52374) - (D11+E11)))/52374)&lt;=1700, ROUND((((MAX(0, B11 - MIN(B11*0.25, 790*52374) - (D11+E11)))/52374)-1090)*0.19*52374,0),
IF(((MAX(0, B11 - MIN(B11*0.25, 790*52374) - (D11+E11)))/52374)&lt;=4100, ROUND((116 + (((MAX(0, B11 - MIN(B11*0.25, 790*52374) - (D11+E11)))/52374)-1700)*0.28)*52374,0),
IF(((MAX(0, B11 - MIN(B11*0.25, 790*52374) - (D11+E11)))/52374)&lt;=8670, ROUND((788 + (((MAX(0, B11 - MIN(B11*0.25, 790*52374) - (D11+E11)))/52374)-4100)*0.33)*52374,0),
IF(((MAX(0, B11 - MIN(B11*0.25, 790*52374) - (D11+E11)))/52374)&lt;=18970, ROUND((2296 + (((MAX(0, B11 - MIN(B11*0.25, 790*52374) - (D11+E11)))/52374)-8670)*0.35)*52374,0),
IF(((MAX(0, B11 - MIN(B11*0.25, 790*52374) - (D11+E11)))/52374)&lt;=31000, ROUND((5901 + (((MAX(0, B11 - MIN(B11*0.25, 790*52374) - (D11+E11)))/52374)-18970)*0.37)*52374,0),
ROUND((10352 + (((MAX(0, B11 - MIN(B11*0.25, 790*52374) - (D11+E11)))/52374)-31000)*0.39)*52374,0))))))) - J11</f>
        <v>0</v>
      </c>
    </row>
    <row r="12" spans="1:12" ht="19.5" customHeight="1" x14ac:dyDescent="0.35">
      <c r="A12" t="s">
        <v>45</v>
      </c>
      <c r="B12" s="7">
        <v>1200000000</v>
      </c>
      <c r="C12" s="7">
        <v>0</v>
      </c>
      <c r="D12" s="7">
        <v>0</v>
      </c>
      <c r="E12" s="7">
        <v>0</v>
      </c>
      <c r="F12" s="8">
        <v>0</v>
      </c>
      <c r="G12" s="8">
        <v>0</v>
      </c>
      <c r="H12" s="7">
        <v>0</v>
      </c>
      <c r="I12" s="9">
        <f>MAX(0, B12 - MIN(B12*0.25, 790*52374) - (D12+E12) - MIN(C12 + MIN(B12*0.1, 384*52374) + 72*52374*MIN(F12,4) + IF(G12=1, MIN(H12, 1200*52374), 0), MIN(B12*0.4, 1340*52374)))</f>
        <v>1138512924</v>
      </c>
      <c r="J12" s="9">
        <f>IF((I12/52374)&lt;=1090, 0,
IF((I12/52374)&lt;=1700, ROUND(((I12/52374)-1090)*0.19*52374,0),
IF((I12/52374)&lt;=4100, ROUND((116 + ((I12/52374)-1700)*0.28)*52374,0),
IF((I12/52374)&lt;=8670, ROUND((788 + ((I12/52374)-4100)*0.33)*52374,0),
IF((I12/52374)&lt;=18970, ROUND((2296 + ((I12/52374)-8670)*0.35)*52374,0),
IF((I12/52374)&lt;=31000, ROUND((5901 + ((I12/52374)-18970)*0.37)*52374,0),
ROUND((10352 + ((I12/52374)-31000)*0.39)*52374,0)))))))</f>
        <v>362700887</v>
      </c>
      <c r="K12" s="10">
        <f>IF(B12&gt;0, J12/B12*100, 0)</f>
        <v>30.225073916666666</v>
      </c>
      <c r="L12" s="9">
        <f>IF(((MAX(0, B12 - MIN(B12*0.25, 790*52374) - (D12+E12)))/52374)&lt;=1090, 0,
IF(((MAX(0, B12 - MIN(B12*0.25, 790*52374) - (D12+E12)))/52374)&lt;=1700, ROUND((((MAX(0, B12 - MIN(B12*0.25, 790*52374) - (D12+E12)))/52374)-1090)*0.19*52374,0),
IF(((MAX(0, B12 - MIN(B12*0.25, 790*52374) - (D12+E12)))/52374)&lt;=4100, ROUND((116 + (((MAX(0, B12 - MIN(B12*0.25, 790*52374) - (D12+E12)))/52374)-1700)*0.28)*52374,0),
IF(((MAX(0, B12 - MIN(B12*0.25, 790*52374) - (D12+E12)))/52374)&lt;=8670, ROUND((788 + (((MAX(0, B12 - MIN(B12*0.25, 790*52374) - (D12+E12)))/52374)-4100)*0.33)*52374,0),
IF(((MAX(0, B12 - MIN(B12*0.25, 790*52374) - (D12+E12)))/52374)&lt;=18970, ROUND((2296 + (((MAX(0, B12 - MIN(B12*0.25, 790*52374) - (D12+E12)))/52374)-8670)*0.35)*52374,0),
IF(((MAX(0, B12 - MIN(B12*0.25, 790*52374) - (D12+E12)))/52374)&lt;=31000, ROUND((5901 + (((MAX(0, B12 - MIN(B12*0.25, 790*52374) - (D12+E12)))/52374)-18970)*0.37)*52374,0),
ROUND((10352 + (((MAX(0, B12 - MIN(B12*0.25, 790*52374) - (D12+E12)))/52374)-31000)*0.39)*52374,0))))))) - J12</f>
        <v>7441298</v>
      </c>
    </row>
    <row r="13" spans="1:12" ht="30" customHeight="1" x14ac:dyDescent="0.35">
      <c r="A13" s="3" t="s">
        <v>19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12" ht="30" customHeight="1" x14ac:dyDescent="0.35">
      <c r="A14" t="s">
        <v>20</v>
      </c>
      <c r="B14" s="7">
        <v>-50000000</v>
      </c>
      <c r="C14" s="7">
        <v>5000000</v>
      </c>
      <c r="D14" s="7">
        <v>4000000</v>
      </c>
      <c r="E14" s="7">
        <v>2000000</v>
      </c>
      <c r="F14" s="8">
        <v>1</v>
      </c>
      <c r="G14" s="8">
        <v>1</v>
      </c>
      <c r="H14" s="7">
        <v>3000000</v>
      </c>
      <c r="I14" s="11" t="s">
        <v>21</v>
      </c>
      <c r="J14" s="2" t="s">
        <v>22</v>
      </c>
      <c r="K14" s="2"/>
      <c r="L14" s="2"/>
    </row>
    <row r="15" spans="1:12" ht="30" customHeight="1" x14ac:dyDescent="0.35">
      <c r="A15" t="s">
        <v>23</v>
      </c>
      <c r="B15" s="7">
        <v>50000000</v>
      </c>
      <c r="C15" s="7">
        <v>60000000</v>
      </c>
      <c r="D15" s="7">
        <v>4000000</v>
      </c>
      <c r="E15" s="7">
        <v>2000000</v>
      </c>
      <c r="F15" s="8">
        <v>2</v>
      </c>
      <c r="G15" s="8">
        <v>0</v>
      </c>
      <c r="H15" s="7">
        <v>0</v>
      </c>
      <c r="I15" s="11" t="s">
        <v>21</v>
      </c>
      <c r="J15" s="2" t="s">
        <v>24</v>
      </c>
      <c r="K15" s="2"/>
      <c r="L15" s="2"/>
    </row>
    <row r="16" spans="1:12" ht="30" customHeight="1" x14ac:dyDescent="0.35">
      <c r="A16" t="s">
        <v>25</v>
      </c>
      <c r="B16" s="7">
        <v>80000000</v>
      </c>
      <c r="C16" s="7">
        <v>10000000</v>
      </c>
      <c r="D16" s="7">
        <v>6400000</v>
      </c>
      <c r="E16" s="7">
        <v>3200000</v>
      </c>
      <c r="F16" s="8">
        <v>-2</v>
      </c>
      <c r="G16" s="8">
        <v>1</v>
      </c>
      <c r="H16" s="7">
        <v>5000000</v>
      </c>
      <c r="I16" s="11" t="s">
        <v>21</v>
      </c>
      <c r="J16" s="2" t="s">
        <v>26</v>
      </c>
      <c r="K16" s="2"/>
      <c r="L16" s="2"/>
    </row>
    <row r="17" spans="1:12" ht="30" customHeight="1" x14ac:dyDescent="0.35">
      <c r="A17" t="s">
        <v>27</v>
      </c>
      <c r="B17" s="7">
        <v>100000000</v>
      </c>
      <c r="C17" s="7">
        <v>15000000</v>
      </c>
      <c r="D17" s="7">
        <v>-8000000</v>
      </c>
      <c r="E17" s="7">
        <v>4000000</v>
      </c>
      <c r="F17" s="8">
        <v>2</v>
      </c>
      <c r="G17" s="8">
        <v>1</v>
      </c>
      <c r="H17" s="7">
        <v>6000000</v>
      </c>
      <c r="I17" s="11" t="s">
        <v>21</v>
      </c>
      <c r="J17" s="2" t="s">
        <v>28</v>
      </c>
      <c r="K17" s="2"/>
      <c r="L17" s="2"/>
    </row>
    <row r="18" spans="1:12" x14ac:dyDescent="0.35">
      <c r="A18" t="s">
        <v>29</v>
      </c>
      <c r="B18" s="7">
        <v>90000000</v>
      </c>
      <c r="C18" s="7">
        <v>12000000</v>
      </c>
      <c r="D18" s="7">
        <v>7200000</v>
      </c>
      <c r="E18" s="7">
        <v>3600000</v>
      </c>
      <c r="F18" s="8">
        <v>1</v>
      </c>
      <c r="G18" s="8">
        <v>1</v>
      </c>
      <c r="H18" s="7">
        <v>-3000000</v>
      </c>
      <c r="I18" s="11" t="s">
        <v>21</v>
      </c>
      <c r="J18" s="2" t="s">
        <v>30</v>
      </c>
      <c r="K18" s="2"/>
      <c r="L18" s="2"/>
    </row>
    <row r="20" spans="1:12" ht="15" customHeight="1" x14ac:dyDescent="0.35">
      <c r="A20" s="12" t="s">
        <v>31</v>
      </c>
    </row>
    <row r="21" spans="1:12" ht="15" customHeight="1" x14ac:dyDescent="0.35">
      <c r="A21" s="1" t="s">
        <v>32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t="15" customHeight="1" x14ac:dyDescent="0.35">
      <c r="A22" s="1" t="s">
        <v>33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15" customHeight="1" x14ac:dyDescent="0.35">
      <c r="A23" s="1" t="s">
        <v>34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15" customHeight="1" x14ac:dyDescent="0.35">
      <c r="A24" s="1" t="s">
        <v>35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15" customHeight="1" x14ac:dyDescent="0.35">
      <c r="A25" s="1" t="s">
        <v>36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15" customHeight="1" x14ac:dyDescent="0.35">
      <c r="A26" s="1" t="s">
        <v>37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15" customHeight="1" x14ac:dyDescent="0.35">
      <c r="A27" s="1" t="s">
        <v>38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15" customHeight="1" x14ac:dyDescent="0.35">
      <c r="A28" s="1" t="s">
        <v>39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ht="15" customHeight="1" x14ac:dyDescent="0.35">
      <c r="A29" s="1" t="s">
        <v>40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35">
      <c r="A30" s="1" t="s">
        <v>41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</sheetData>
  <mergeCells count="21">
    <mergeCell ref="A30:L30"/>
    <mergeCell ref="A25:L25"/>
    <mergeCell ref="A26:L26"/>
    <mergeCell ref="A27:L27"/>
    <mergeCell ref="A28:L28"/>
    <mergeCell ref="A29:L29"/>
    <mergeCell ref="J18:L18"/>
    <mergeCell ref="A21:L21"/>
    <mergeCell ref="A22:L22"/>
    <mergeCell ref="A23:L23"/>
    <mergeCell ref="A24:L24"/>
    <mergeCell ref="A13:L13"/>
    <mergeCell ref="J14:L14"/>
    <mergeCell ref="J15:L15"/>
    <mergeCell ref="J16:L16"/>
    <mergeCell ref="J17:L17"/>
    <mergeCell ref="A1:L1"/>
    <mergeCell ref="A3:H3"/>
    <mergeCell ref="I3:L3"/>
    <mergeCell ref="A5:L5"/>
    <mergeCell ref="A9:L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Casos Prueba Impuestos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Jeronimo Roldan</cp:lastModifiedBy>
  <cp:revision>0</cp:revision>
  <dcterms:created xsi:type="dcterms:W3CDTF">2026-02-27T12:38:07Z</dcterms:created>
  <dcterms:modified xsi:type="dcterms:W3CDTF">2026-02-27T14:05:30Z</dcterms:modified>
  <dc:language>en-US</dc:language>
</cp:coreProperties>
</file>