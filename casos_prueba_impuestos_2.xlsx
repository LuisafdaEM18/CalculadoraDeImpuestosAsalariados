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Prueba Impue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<sst xmlns="http://schemas.openxmlformats.org/spreadsheetml/2006/main" count="48" uniqueCount="44">
  <si>
    <t xml:space="preserve">CASOS DE PRUEBA - CALCULADORA DE IMPUESTOS COLOMBIA 2026</t>
  </si>
  <si>
    <t xml:space="preserve">ENTRADAS</t>
  </si>
  <si>
    <t xml:space="preserve">SALIDAS</t>
  </si>
  <si>
    <t xml:space="preserve">Tipo de Caso</t>
  </si>
  <si>
    <t xml:space="preserve">Ingresos Anuales (COP)</t>
  </si>
  <si>
    <t xml:space="preserve">Deducciones Generales (COP)</t>
  </si>
  <si>
    <t xml:space="preserve">Aportes Pensión (COP)</t>
  </si>
  <si>
    <t xml:space="preserve">Aportes Salud (COP)</t>
  </si>
  <si>
    <t xml:space="preserve">Dependientes</t>
  </si>
  <si>
    <t xml:space="preserve">Vivienda Propia (1=Sí, 0=No)</t>
  </si>
  <si>
    <t xml:space="preserve">Intereses Vivienda (COP)</t>
  </si>
  <si>
    <t xml:space="preserve">Renta Líquida Gravable (COP)</t>
  </si>
  <si>
    <t xml:space="preserve">Impuesto a Pagar (COP)</t>
  </si>
  <si>
    <t xml:space="preserve">Tasa Efectiva (%)</t>
  </si>
  <si>
    <t xml:space="preserve">Ahorro vs Sin Deducciones (COP)</t>
  </si>
  <si>
    <t xml:space="preserve">Casos Normales</t>
  </si>
  <si>
    <t xml:space="preserve">Caso Normal 1</t>
  </si>
  <si>
    <t xml:space="preserve">Caso Normal 2</t>
  </si>
  <si>
    <t xml:space="preserve">Casos Extraordinarios</t>
  </si>
  <si>
    <t xml:space="preserve">Casos Extraordinarios 1</t>
  </si>
  <si>
    <t xml:space="preserve">Casos Extraordinarios 2</t>
  </si>
  <si>
    <t xml:space="preserve">Casos de Error</t>
  </si>
  <si>
    <t xml:space="preserve">Error: Ingresos Negativos</t>
  </si>
  <si>
    <t xml:space="preserve">ERROR</t>
  </si>
  <si>
    <t xml:space="preserve">ERROR: Los ingresos no pueden ser negativos</t>
  </si>
  <si>
    <t xml:space="preserve">Error: Deducciones Excesivas</t>
  </si>
  <si>
    <t xml:space="preserve">ERROR: Las deducciones no pueden superar los ingresos totales</t>
  </si>
  <si>
    <t xml:space="preserve">Error: Dependientes Negativos</t>
  </si>
  <si>
    <t xml:space="preserve">ERROR: El número de dependientes debe ser mayor o igual a cero</t>
  </si>
  <si>
    <t xml:space="preserve">Error: Aportes Negativos</t>
  </si>
  <si>
    <t xml:space="preserve">ERROR: Los aportes a pensión no pueden ser negativos</t>
  </si>
  <si>
    <t xml:space="preserve">Error: Intereses Negativos</t>
  </si>
  <si>
    <t xml:space="preserve">ERROR: Los intereses de vivienda no pueden ser negativos</t>
  </si>
  <si>
    <t xml:space="preserve">NOTAS IMPORTANTES:</t>
  </si>
  <si>
    <t xml:space="preserve">• UVT 2026: $52,374 COP</t>
  </si>
  <si>
    <t xml:space="preserve">• Renta Exenta: 25% de ingresos (máx 790 UVT)</t>
  </si>
  <si>
    <t xml:space="preserve">• Deducción 10%: Hasta 384 UVT</t>
  </si>
  <si>
    <t xml:space="preserve">• Dependientes: 72 UVT por dependiente (máx 4)</t>
  </si>
  <si>
    <t xml:space="preserve">• Intereses Vivienda (ENTRADA): Son los intereses PAGADOS en el año por crédito hipotecario (máx 1,200 UVT deducibles)</t>
  </si>
  <si>
    <t xml:space="preserve">• Vivienda Propia: 1 = Tiene crédito hipotecario activo, 0 = No tiene</t>
  </si>
  <si>
    <t xml:space="preserve">• Límite Deducciones Especiales: 40% ingresos o 1,340 UVT (lo menor)</t>
  </si>
  <si>
    <t xml:space="preserve">• Deducciones de Seguridad Social (pensión y salud) no tienen límite</t>
  </si>
  <si>
    <t xml:space="preserve">• Columna "Ahorro": Diferencia de impuesto vs cálculo sin deducciones especiales</t>
  </si>
  <si>
    <t xml:space="preserve">• Casos de Error: Muestran validaciones que debe implementar el sistema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</si>
</sst>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44062"/>
      </patternFill>
    </fill>
    <fill>
      <patternFill patternType="solid">
        <fgColor rgb="FF244062"/>
        <bgColor rgb="FF1F4E78"/>
      </patternFill>
    </fill>
    <fill>
      <patternFill patternType="solid">
        <fgColor rgb="FF366092"/>
        <bgColor rgb="FF1F4E78"/>
      </patternFill>
    </fill>
    <fill>
      <patternFill patternType="solid">
        <fgColor rgb="FF538DD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  <col collapsed="false" customWidth="true" hidden="false" outlineLevel="0" max="7" min="6" style="0" width="15"/>
    <col collapsed="false" customWidth="true" hidden="false" outlineLevel="0" max="8" min="8" style="0" width="20"/>
    <col collapsed="false" customWidth="true" hidden="false" outlineLevel="0" max="12" min="9" style="0" width="25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4.5" hidden="false" customHeight="true" outlineLevel="0" collapsed="false"/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 t="s">
        <v>2</v>
      </c>
      <c r="J3" s="2"/>
      <c r="K3" s="2"/>
      <c r="L3" s="2"/>
    </row>
    <row r="4" customFormat="false" ht="39.75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customFormat="false" ht="19.5" hidden="false" customHeight="true" outlineLevel="0" collapsed="false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0" t="s">
        <v>16</v>
      </c>
      <c r="B6" s="5" t="n">
        <v>80000000</v>
      </c>
      <c r="C6" s="5" t="n">
        <v>10000000</v>
      </c>
      <c r="D6" s="5" t="n">
        <v>6400000</v>
      </c>
      <c r="E6" s="5" t="n">
        <v>3200000</v>
      </c>
      <c r="F6" s="6" t="n">
        <v>2</v>
      </c>
      <c r="G6" s="6" t="n">
        <v>1</v>
      </c>
      <c r="H6" s="5" t="n">
        <v>5000000</v>
      </c>
      <c r="I6" s="7" t="n">
        <f aca="false">MAX(0, B6 - MIN(B6*0.25, 790*52374) - (D6+E6) - MIN(C6 + MIN(B6*0.1, 384*52374) + 72*52374*MIN(F6,4) + IF(G6=1, MIN(H6, 1200*52374), 0), MIN(B6*0.4, 1340*52374)))</f>
        <v>19858144</v>
      </c>
      <c r="J6" s="7" t="n">
        <f aca="false">IF((I6/52374)&lt;=1090, 0,
IF((I6/52374)&lt;=1700, ROUND(((I6/52374)-1090)*0.19*52374,0),
IF((I6/52374)&lt;=4100, ROUND((116 + ((I6/52374)-1700)*0.28)*52374,0),
IF((I6/52374)&lt;=8670, ROUND((788 + ((I6/52374)-4100)*0.33)*52374,0),
IF((I6/52374)&lt;=18970, ROUND((2296 + ((I6/52374)-8670)*0.35)*52374,0),
IF((I6/52374)&lt;=31000, ROUND((5901 + ((I6/52374)-18970)*0.37)*52374,0),
ROUND((10352 + ((I6/52374)-31000)*0.39)*52374,0)))))))</f>
        <v>0</v>
      </c>
      <c r="K6" s="8" t="n">
        <f aca="false">IF(B6&gt;0, J6/B6*100, 0)</f>
        <v>0</v>
      </c>
      <c r="L6" s="7" t="n">
        <f aca="false">IF(((MAX(0, B6 - MIN(B6*0.25, 790*52374) - (D6+E6)))/52374)&lt;=1090, 0,
IF(((MAX(0, B6 - MIN(B6*0.25, 790*52374) - (D6+E6)))/52374)&lt;=1700, ROUND((((MAX(0, B6 - MIN(B6*0.25, 790*52374) - (D6+E6)))/52374)-1090)*0.19*52374,0),
IF(((MAX(0, B6 - MIN(B6*0.25, 790*52374) - (D6+E6)))/52374)&lt;=4100, ROUND((116 + (((MAX(0, B6 - MIN(B6*0.25, 790*52374) - (D6+E6)))/52374)-1700)*0.28)*52374,0),
IF(((MAX(0, B6 - MIN(B6*0.25, 790*52374) - (D6+E6)))/52374)&lt;=8670, ROUND((788 + (((MAX(0, B6 - MIN(B6*0.25, 790*52374) - (D6+E6)))/52374)-4100)*0.33)*52374,0),
IF(((MAX(0, B6 - MIN(B6*0.25, 790*52374) - (D6+E6)))/52374)&lt;=18970, ROUND((2296 + (((MAX(0, B6 - MIN(B6*0.25, 790*52374) - (D6+E6)))/52374)-8670)*0.35)*52374,0),
IF(((MAX(0, B6 - MIN(B6*0.25, 790*52374) - (D6+E6)))/52374)&lt;=31000, ROUND((5901 + (((MAX(0, B6 - MIN(B6*0.25, 790*52374) - (D6+E6)))/52374)-18970)*0.37)*52374,0),
ROUND((10352 + (((MAX(0, B6 - MIN(B6*0.25, 790*52374) - (D6+E6)))/52374)-31000)*0.39)*52374,0))))))) - J6</f>
        <v>0</v>
      </c>
    </row>
    <row r="7" customFormat="false" ht="15" hidden="false" customHeight="false" outlineLevel="0" collapsed="false">
      <c r="A7" s="0" t="s">
        <v>17</v>
      </c>
      <c r="B7" s="5" t="n">
        <v>150000000</v>
      </c>
      <c r="C7" s="5" t="n">
        <v>20000000</v>
      </c>
      <c r="D7" s="5" t="n">
        <v>12000000</v>
      </c>
      <c r="E7" s="5" t="n">
        <v>6000000</v>
      </c>
      <c r="F7" s="6" t="n">
        <v>1</v>
      </c>
      <c r="G7" s="6" t="n">
        <v>0</v>
      </c>
      <c r="H7" s="5" t="n">
        <v>0</v>
      </c>
      <c r="I7" s="7" t="n">
        <f aca="false">MAX(0, B7 - MIN(B7*0.25, 790*52374) - (D7+E7) - MIN(C7 + MIN(B7*0.1, 384*52374) + 72*52374*MIN(F7,4) + IF(G7=1, MIN(H7, 1200*52374), 0), MIN(B7*0.4, 1340*52374)))</f>
        <v>55729072</v>
      </c>
      <c r="J7" s="7" t="n">
        <f aca="false">IF((I7/52374)&lt;=1090, 0,
IF((I7/52374)&lt;=1700, ROUND(((I7/52374)-1090)*0.19*52374,0),
IF((I7/52374)&lt;=4100, ROUND((116 + ((I7/52374)-1700)*0.28)*52374,0),
IF((I7/52374)&lt;=8670, ROUND((788 + ((I7/52374)-4100)*0.33)*52374,0),
IF((I7/52374)&lt;=18970, ROUND((2296 + ((I7/52374)-8670)*0.35)*52374,0),
IF((I7/52374)&lt;=31000, ROUND((5901 + ((I7/52374)-18970)*0.37)*52374,0),
ROUND((10352 + ((I7/52374)-31000)*0.39)*52374,0)))))))</f>
        <v>0</v>
      </c>
      <c r="K7" s="8" t="n">
        <f aca="false">IF(B7&gt;0, J7/B7*100, 0)</f>
        <v>0</v>
      </c>
      <c r="L7" s="7" t="n">
        <f aca="false">IF(((MAX(0, B7 - MIN(B7*0.25, 790*52374) - (D7+E7)))/52374)&lt;=1090, 0,
IF(((MAX(0, B7 - MIN(B7*0.25, 790*52374) - (D7+E7)))/52374)&lt;=1700, ROUND((((MAX(0, B7 - MIN(B7*0.25, 790*52374) - (D7+E7)))/52374)-1090)*0.19*52374,0),
IF(((MAX(0, B7 - MIN(B7*0.25, 790*52374) - (D7+E7)))/52374)&lt;=4100, ROUND((116 + (((MAX(0, B7 - MIN(B7*0.25, 790*52374) - (D7+E7)))/52374)-1700)*0.28)*52374,0),
IF(((MAX(0, B7 - MIN(B7*0.25, 790*52374) - (D7+E7)))/52374)&lt;=8670, ROUND((788 + (((MAX(0, B7 - MIN(B7*0.25, 790*52374) - (D7+E7)))/52374)-4100)*0.33)*52374,0),
IF(((MAX(0, B7 - MIN(B7*0.25, 790*52374) - (D7+E7)))/52374)&lt;=18970, ROUND((2296 + (((MAX(0, B7 - MIN(B7*0.25, 790*52374) - (D7+E7)))/52374)-8670)*0.35)*52374,0),
IF(((MAX(0, B7 - MIN(B7*0.25, 790*52374) - (D7+E7)))/52374)&lt;=31000, ROUND((5901 + (((MAX(0, B7 - MIN(B7*0.25, 790*52374) - (D7+E7)))/52374)-18970)*0.37)*52374,0),
ROUND((10352 + (((MAX(0, B7 - MIN(B7*0.25, 790*52374) - (D7+E7)))/52374)-31000)*0.39)*52374,0))))))) - J7</f>
        <v>7605360</v>
      </c>
    </row>
    <row r="8" customFormat="false" ht="19.5" hidden="false" customHeight="true" outlineLevel="0" collapsed="false">
      <c r="A8" s="4" t="s">
        <v>18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0" t="s">
        <v>19</v>
      </c>
      <c r="B9" s="5" t="n">
        <v>600000000</v>
      </c>
      <c r="C9" s="5" t="n">
        <v>60000000</v>
      </c>
      <c r="D9" s="5" t="n">
        <v>48000000</v>
      </c>
      <c r="E9" s="5" t="n">
        <v>24000000</v>
      </c>
      <c r="F9" s="6" t="n">
        <v>4</v>
      </c>
      <c r="G9" s="6" t="n">
        <v>1</v>
      </c>
      <c r="H9" s="5" t="n">
        <v>25000000</v>
      </c>
      <c r="I9" s="7" t="n">
        <f aca="false">MAX(0, B9 - MIN(B9*0.25, 790*52374) - (D9+E9) - MIN(C9 + MIN(B9*0.1, 384*52374) + 72*52374*MIN(F9,4) + IF(G9=1, MIN(H9, 1200*52374), 0), MIN(B9*0.4, 1340*52374)))</f>
        <v>416443380</v>
      </c>
      <c r="J9" s="7" t="n">
        <f aca="false">IF((I9/52374)&lt;=1090, 0,
IF((I9/52374)&lt;=1700, ROUND(((I9/52374)-1090)*0.19*52374,0),
IF((I9/52374)&lt;=4100, ROUND((116 + ((I9/52374)-1700)*0.28)*52374,0),
IF((I9/52374)&lt;=8670, ROUND((788 + ((I9/52374)-4100)*0.33)*52374,0),
IF((I9/52374)&lt;=18970, ROUND((2296 + ((I9/52374)-8670)*0.35)*52374,0),
IF((I9/52374)&lt;=31000, ROUND((5901 + ((I9/52374)-18970)*0.37)*52374,0),
ROUND((10352 + ((I9/52374)-31000)*0.39)*52374,0)))))))</f>
        <v>107835005</v>
      </c>
      <c r="K9" s="8" t="n">
        <f aca="false">IF(B9&gt;0, J9/B9*100, 0)</f>
        <v>17.9725008333333</v>
      </c>
      <c r="L9" s="7" t="n">
        <f aca="false">IF(((MAX(0, B9 - MIN(B9*0.25, 790*52374) - (D9+E9)))/52374)&lt;=1090, 0,
IF(((MAX(0, B9 - MIN(B9*0.25, 790*52374) - (D9+E9)))/52374)&lt;=1700, ROUND((((MAX(0, B9 - MIN(B9*0.25, 790*52374) - (D9+E9)))/52374)-1090)*0.19*52374,0),
IF(((MAX(0, B9 - MIN(B9*0.25, 790*52374) - (D9+E9)))/52374)&lt;=4100, ROUND((116 + (((MAX(0, B9 - MIN(B9*0.25, 790*52374) - (D9+E9)))/52374)-1700)*0.28)*52374,0),
IF(((MAX(0, B9 - MIN(B9*0.25, 790*52374) - (D9+E9)))/52374)&lt;=8670, ROUND((788 + (((MAX(0, B9 - MIN(B9*0.25, 790*52374) - (D9+E9)))/52374)-4100)*0.33)*52374,0),
IF(((MAX(0, B9 - MIN(B9*0.25, 790*52374) - (D9+E9)))/52374)&lt;=18970, ROUND((2296 + (((MAX(0, B9 - MIN(B9*0.25, 790*52374) - (D9+E9)))/52374)-8670)*0.35)*52374,0),
IF(((MAX(0, B9 - MIN(B9*0.25, 790*52374) - (D9+E9)))/52374)&lt;=31000, ROUND((5901 + (((MAX(0, B9 - MIN(B9*0.25, 790*52374) - (D9+E9)))/52374)-18970)*0.37)*52374,0),
ROUND((10352 + (((MAX(0, B9 - MIN(B9*0.25, 790*52374) - (D9+E9)))/52374)-31000)*0.39)*52374,0))))))) - J9</f>
        <v>23805385</v>
      </c>
    </row>
    <row r="10" customFormat="false" ht="15" hidden="false" customHeight="false" outlineLevel="0" collapsed="false">
      <c r="A10" s="0" t="s">
        <v>20</v>
      </c>
      <c r="B10" s="5" t="n">
        <v>15000000</v>
      </c>
      <c r="C10" s="5" t="n">
        <v>0</v>
      </c>
      <c r="D10" s="5" t="n">
        <v>1200000</v>
      </c>
      <c r="E10" s="5" t="n">
        <v>600000</v>
      </c>
      <c r="F10" s="6" t="n">
        <v>0</v>
      </c>
      <c r="G10" s="6" t="n">
        <v>0</v>
      </c>
      <c r="H10" s="5" t="n">
        <v>0</v>
      </c>
      <c r="I10" s="7" t="n">
        <f aca="false">MAX(0, B10 - MIN(B10*0.25, 790*52374) - (D10+E10) - MIN(C10 + MIN(B10*0.1, 384*52374) + 72*52374*MIN(F10,4) + IF(G10=1, MIN(H10, 1200*52374), 0), MIN(B10*0.4, 1340*52374)))</f>
        <v>7950000</v>
      </c>
      <c r="J10" s="7" t="n">
        <f aca="false">IF((I10/52374)&lt;=1090, 0,
IF((I10/52374)&lt;=1700, ROUND(((I10/52374)-1090)*0.19*52374,0),
IF((I10/52374)&lt;=4100, ROUND((116 + ((I10/52374)-1700)*0.28)*52374,0),
IF((I10/52374)&lt;=8670, ROUND((788 + ((I10/52374)-4100)*0.33)*52374,0),
IF((I10/52374)&lt;=18970, ROUND((2296 + ((I10/52374)-8670)*0.35)*52374,0),
IF((I10/52374)&lt;=31000, ROUND((5901 + ((I10/52374)-18970)*0.37)*52374,0),
ROUND((10352 + ((I10/52374)-31000)*0.39)*52374,0)))))))</f>
        <v>0</v>
      </c>
      <c r="K10" s="8" t="n">
        <f aca="false">IF(B10&gt;0, J10/B10*100, 0)</f>
        <v>0</v>
      </c>
      <c r="L10" s="7" t="n">
        <f aca="false">IF(((MAX(0, B10 - MIN(B10*0.25, 790*52374) - (D10+E10)))/52374)&lt;=1090, 0,
IF(((MAX(0, B10 - MIN(B10*0.25, 790*52374) - (D10+E10)))/52374)&lt;=1700, ROUND((((MAX(0, B10 - MIN(B10*0.25, 790*52374) - (D10+E10)))/52374)-1090)*0.19*52374,0),
IF(((MAX(0, B10 - MIN(B10*0.25, 790*52374) - (D10+E10)))/52374)&lt;=4100, ROUND((116 + (((MAX(0, B10 - MIN(B10*0.25, 790*52374) - (D10+E10)))/52374)-1700)*0.28)*52374,0),
IF(((MAX(0, B10 - MIN(B10*0.25, 790*52374) - (D10+E10)))/52374)&lt;=8670, ROUND((788 + (((MAX(0, B10 - MIN(B10*0.25, 790*52374) - (D10+E10)))/52374)-4100)*0.33)*52374,0),
IF(((MAX(0, B10 - MIN(B10*0.25, 790*52374) - (D10+E10)))/52374)&lt;=18970, ROUND((2296 + (((MAX(0, B10 - MIN(B10*0.25, 790*52374) - (D10+E10)))/52374)-8670)*0.35)*52374,0),
IF(((MAX(0, B10 - MIN(B10*0.25, 790*52374) - (D10+E10)))/52374)&lt;=31000, ROUND((5901 + (((MAX(0, B10 - MIN(B10*0.25, 790*52374) - (D10+E10)))/52374)-18970)*0.37)*52374,0),
ROUND((10352 + (((MAX(0, B10 - MIN(B10*0.25, 790*52374) - (D10+E10)))/52374)-31000)*0.39)*52374,0))))))) - J10</f>
        <v>0</v>
      </c>
    </row>
    <row r="12" customFormat="false" ht="19.5" hidden="false" customHeight="true" outlineLevel="0" collapsed="false">
      <c r="A12" s="4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30" hidden="false" customHeight="true" outlineLevel="0" collapsed="false">
      <c r="A13" s="0" t="s">
        <v>22</v>
      </c>
      <c r="B13" s="5" t="n">
        <v>-50000000</v>
      </c>
      <c r="C13" s="5" t="n">
        <v>5000000</v>
      </c>
      <c r="D13" s="5" t="n">
        <v>4000000</v>
      </c>
      <c r="E13" s="5" t="n">
        <v>2000000</v>
      </c>
      <c r="F13" s="6" t="n">
        <v>1</v>
      </c>
      <c r="G13" s="6" t="n">
        <v>1</v>
      </c>
      <c r="H13" s="5" t="n">
        <v>3000000</v>
      </c>
      <c r="I13" s="9" t="s">
        <v>23</v>
      </c>
      <c r="J13" s="10" t="s">
        <v>24</v>
      </c>
      <c r="K13" s="10"/>
      <c r="L13" s="10"/>
    </row>
    <row r="14" customFormat="false" ht="30" hidden="false" customHeight="true" outlineLevel="0" collapsed="false">
      <c r="A14" s="0" t="s">
        <v>25</v>
      </c>
      <c r="B14" s="5" t="n">
        <v>50000000</v>
      </c>
      <c r="C14" s="5" t="n">
        <v>60000000</v>
      </c>
      <c r="D14" s="5" t="n">
        <v>4000000</v>
      </c>
      <c r="E14" s="5" t="n">
        <v>2000000</v>
      </c>
      <c r="F14" s="6" t="n">
        <v>2</v>
      </c>
      <c r="G14" s="6" t="n">
        <v>0</v>
      </c>
      <c r="H14" s="5" t="n">
        <v>0</v>
      </c>
      <c r="I14" s="9" t="s">
        <v>23</v>
      </c>
      <c r="J14" s="10" t="s">
        <v>26</v>
      </c>
      <c r="K14" s="10"/>
      <c r="L14" s="10"/>
    </row>
    <row r="15" customFormat="false" ht="30" hidden="false" customHeight="true" outlineLevel="0" collapsed="false">
      <c r="A15" s="0" t="s">
        <v>27</v>
      </c>
      <c r="B15" s="5" t="n">
        <v>80000000</v>
      </c>
      <c r="C15" s="5" t="n">
        <v>10000000</v>
      </c>
      <c r="D15" s="5" t="n">
        <v>6400000</v>
      </c>
      <c r="E15" s="5" t="n">
        <v>3200000</v>
      </c>
      <c r="F15" s="6" t="n">
        <v>-2</v>
      </c>
      <c r="G15" s="6" t="n">
        <v>1</v>
      </c>
      <c r="H15" s="5" t="n">
        <v>5000000</v>
      </c>
      <c r="I15" s="9" t="s">
        <v>23</v>
      </c>
      <c r="J15" s="10" t="s">
        <v>28</v>
      </c>
      <c r="K15" s="10"/>
      <c r="L15" s="10"/>
    </row>
    <row r="16" customFormat="false" ht="30" hidden="false" customHeight="true" outlineLevel="0" collapsed="false">
      <c r="A16" s="0" t="s">
        <v>29</v>
      </c>
      <c r="B16" s="5" t="n">
        <v>100000000</v>
      </c>
      <c r="C16" s="5" t="n">
        <v>15000000</v>
      </c>
      <c r="D16" s="5" t="n">
        <v>-8000000</v>
      </c>
      <c r="E16" s="5" t="n">
        <v>4000000</v>
      </c>
      <c r="F16" s="6" t="n">
        <v>2</v>
      </c>
      <c r="G16" s="6" t="n">
        <v>1</v>
      </c>
      <c r="H16" s="5" t="n">
        <v>6000000</v>
      </c>
      <c r="I16" s="9" t="s">
        <v>23</v>
      </c>
      <c r="J16" s="10" t="s">
        <v>30</v>
      </c>
      <c r="K16" s="10"/>
      <c r="L16" s="10"/>
    </row>
    <row r="17" customFormat="false" ht="30" hidden="false" customHeight="true" outlineLevel="0" collapsed="false">
      <c r="A17" s="0" t="s">
        <v>31</v>
      </c>
      <c r="B17" s="5" t="n">
        <v>90000000</v>
      </c>
      <c r="C17" s="5" t="n">
        <v>12000000</v>
      </c>
      <c r="D17" s="5" t="n">
        <v>7200000</v>
      </c>
      <c r="E17" s="5" t="n">
        <v>3600000</v>
      </c>
      <c r="F17" s="6" t="n">
        <v>1</v>
      </c>
      <c r="G17" s="6" t="n">
        <v>1</v>
      </c>
      <c r="H17" s="5" t="n">
        <v>-3000000</v>
      </c>
      <c r="I17" s="9" t="s">
        <v>23</v>
      </c>
      <c r="J17" s="10" t="s">
        <v>32</v>
      </c>
      <c r="K17" s="10"/>
      <c r="L17" s="10"/>
    </row>
    <row r="19" customFormat="false" ht="15" hidden="false" customHeight="false" outlineLevel="0" collapsed="false">
      <c r="A19" s="11" t="s">
        <v>33</v>
      </c>
    </row>
    <row r="20" customFormat="false" ht="15" hidden="false" customHeight="true" outlineLevel="0" collapsed="false">
      <c r="A20" s="12" t="s">
        <v>34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customFormat="false" ht="15" hidden="false" customHeight="true" outlineLevel="0" collapsed="false">
      <c r="A21" s="12" t="s">
        <v>35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2" t="s">
        <v>36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customFormat="false" ht="15" hidden="false" customHeight="true" outlineLevel="0" collapsed="false">
      <c r="A23" s="12" t="s">
        <v>37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2" t="s">
        <v>38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customFormat="false" ht="15" hidden="false" customHeight="true" outlineLevel="0" collapsed="false">
      <c r="A25" s="12" t="s">
        <v>39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customFormat="false" ht="15" hidden="false" customHeight="true" outlineLevel="0" collapsed="false">
      <c r="A26" s="12" t="s">
        <v>40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customFormat="false" ht="15" hidden="false" customHeight="true" outlineLevel="0" collapsed="false">
      <c r="A27" s="12" t="s">
        <v>41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true" outlineLevel="0" collapsed="false">
      <c r="A28" s="12" t="s">
        <v>42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customFormat="false" ht="15" hidden="false" customHeight="true" outlineLevel="0" collapsed="false">
      <c r="A29" s="12" t="s">
        <v>43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</sheetData>
  <mergeCells count="21">
    <mergeCell ref="A1:L1"/>
    <mergeCell ref="A3:H3"/>
    <mergeCell ref="I3:L3"/>
    <mergeCell ref="A5:L5"/>
    <mergeCell ref="A8:L8"/>
    <mergeCell ref="A12:L12"/>
    <mergeCell ref="J13:L13"/>
    <mergeCell ref="J14:L14"/>
    <mergeCell ref="J15:L15"/>
    <mergeCell ref="J16:L16"/>
    <mergeCell ref="J17:L17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2026-02-27T12:38:07Z</dcterms:created>
  <dc:creator>openpyxl</dc:creator>
  <dc:description/>
  <dc:language>en-US</dc:language>
  <cp:lastModifiedBy/>
  <dcterms:modified xsi:type="dcterms:W3CDTF">2026-02-27T12:38:07Z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